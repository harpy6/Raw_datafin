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sz val="11"/>
    </font>
    <font>
      <name val="Calibri"/>
      <b val="1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Consolidated Statements of Profit and Loss</t>
        </is>
      </c>
    </row>
    <row r="2">
      <c r="A2" s="2" t="inlineStr">
        <is>
          <t>(₹ in millions, except share and per share data, unless otherwise stated)</t>
        </is>
      </c>
    </row>
    <row r="4" ht="28" customHeight="1">
      <c r="A4" s="3" t="inlineStr">
        <is>
          <t>Particulars</t>
        </is>
      </c>
      <c r="B4" s="4" t="inlineStr">
        <is>
          <t>Notes</t>
        </is>
      </c>
      <c r="C4" s="4" t="inlineStr">
        <is>
          <t>Year ended
March 31, 2026</t>
        </is>
      </c>
      <c r="D4" s="4" t="inlineStr">
        <is>
          <t>Year ended
March 31, 2025</t>
        </is>
      </c>
    </row>
    <row r="5" ht="20" customHeight="1">
      <c r="A5" s="5" t="inlineStr">
        <is>
          <t>INCOME</t>
        </is>
      </c>
      <c r="B5" s="6" t="inlineStr"/>
      <c r="C5" s="7" t="inlineStr"/>
      <c r="D5" s="7" t="inlineStr"/>
    </row>
    <row r="6" ht="20" customHeight="1">
      <c r="A6" s="8" t="inlineStr">
        <is>
          <t>Revenue from operations</t>
        </is>
      </c>
      <c r="B6" s="9" t="n">
        <v>22</v>
      </c>
      <c r="C6" s="10" t="n">
        <v>926240</v>
      </c>
      <c r="D6" s="10" t="n">
        <v>890884</v>
      </c>
    </row>
    <row r="7" ht="20" customHeight="1">
      <c r="A7" s="8" t="inlineStr">
        <is>
          <t>Other income</t>
        </is>
      </c>
      <c r="B7" s="9" t="n">
        <v>23</v>
      </c>
      <c r="C7" s="10" t="n">
        <v>38737</v>
      </c>
      <c r="D7" s="10" t="n">
        <v>38840</v>
      </c>
    </row>
    <row r="8" ht="20" customHeight="1">
      <c r="A8" s="11" t="inlineStr">
        <is>
          <t>Total Income (A)</t>
        </is>
      </c>
      <c r="B8" s="12" t="inlineStr"/>
      <c r="C8" s="13">
        <f>SUM(C6:C7)</f>
        <v/>
      </c>
      <c r="D8" s="13">
        <f>SUM(D6:D7)</f>
        <v/>
      </c>
    </row>
    <row r="9" ht="20" customHeight="1">
      <c r="A9" s="5" t="inlineStr">
        <is>
          <t>EXPENSES</t>
        </is>
      </c>
      <c r="B9" s="6" t="inlineStr"/>
      <c r="C9" s="7" t="inlineStr"/>
      <c r="D9" s="7" t="inlineStr"/>
    </row>
    <row r="10" ht="20" customHeight="1">
      <c r="A10" s="8" t="inlineStr">
        <is>
          <t>Purchases of stock-in-trade</t>
        </is>
      </c>
      <c r="B10" s="9" t="inlineStr"/>
      <c r="C10" s="10" t="n">
        <v>5755</v>
      </c>
      <c r="D10" s="10" t="n">
        <v>2967</v>
      </c>
    </row>
    <row r="11" ht="20" customHeight="1">
      <c r="A11" s="8" t="inlineStr">
        <is>
          <t>Changes in inventories of stock-in-trade</t>
        </is>
      </c>
      <c r="B11" s="9" t="n">
        <v>24</v>
      </c>
      <c r="C11" s="10" t="n">
        <v>171</v>
      </c>
      <c r="D11" s="10" t="n">
        <v>195</v>
      </c>
    </row>
    <row r="12" ht="20" customHeight="1">
      <c r="A12" s="8" t="inlineStr">
        <is>
          <t>Employee benefits expense</t>
        </is>
      </c>
      <c r="B12" s="9" t="n">
        <v>25</v>
      </c>
      <c r="C12" s="10" t="n">
        <v>555855</v>
      </c>
      <c r="D12" s="10" t="n">
        <v>533477</v>
      </c>
    </row>
    <row r="13" ht="20" customHeight="1">
      <c r="A13" s="8" t="inlineStr">
        <is>
          <t>Finance costs</t>
        </is>
      </c>
      <c r="B13" s="9" t="n">
        <v>26</v>
      </c>
      <c r="C13" s="10" t="n">
        <v>14577</v>
      </c>
      <c r="D13" s="10" t="n">
        <v>14770</v>
      </c>
    </row>
    <row r="14" ht="20" customHeight="1">
      <c r="A14" s="8" t="inlineStr">
        <is>
          <t>Depreciation, amortisation and impairment expense</t>
        </is>
      </c>
      <c r="B14" s="9" t="inlineStr"/>
      <c r="C14" s="10" t="n">
        <v>29107</v>
      </c>
      <c r="D14" s="10" t="n">
        <v>29579</v>
      </c>
    </row>
    <row r="15" ht="20" customHeight="1">
      <c r="A15" s="8" t="inlineStr">
        <is>
          <t>Sub-contracting and technical fees</t>
        </is>
      </c>
      <c r="B15" s="9" t="inlineStr"/>
      <c r="C15" s="10" t="n">
        <v>107668</v>
      </c>
      <c r="D15" s="10" t="n">
        <v>100148</v>
      </c>
    </row>
    <row r="16" ht="20" customHeight="1">
      <c r="A16" s="8" t="inlineStr">
        <is>
          <t>Facility expenses</t>
        </is>
      </c>
      <c r="B16" s="9" t="inlineStr"/>
      <c r="C16" s="10" t="n">
        <v>15886</v>
      </c>
      <c r="D16" s="10" t="n">
        <v>16067</v>
      </c>
    </row>
    <row r="17" ht="20" customHeight="1">
      <c r="A17" s="8" t="inlineStr">
        <is>
          <t>Software license expense for internal use</t>
        </is>
      </c>
      <c r="B17" s="9" t="inlineStr"/>
      <c r="C17" s="10" t="n">
        <v>21720</v>
      </c>
      <c r="D17" s="10" t="n">
        <v>19338</v>
      </c>
    </row>
    <row r="18" ht="20" customHeight="1">
      <c r="A18" s="8" t="inlineStr">
        <is>
          <t>Travel</t>
        </is>
      </c>
      <c r="B18" s="9" t="inlineStr"/>
      <c r="C18" s="10" t="n">
        <v>13882</v>
      </c>
      <c r="D18" s="10" t="n">
        <v>14095</v>
      </c>
    </row>
    <row r="19" ht="20" customHeight="1">
      <c r="A19" s="8" t="inlineStr">
        <is>
          <t>Communication</t>
        </is>
      </c>
      <c r="B19" s="9" t="inlineStr"/>
      <c r="C19" s="10" t="n">
        <v>3414</v>
      </c>
      <c r="D19" s="10" t="n">
        <v>3842</v>
      </c>
    </row>
    <row r="20" ht="20" customHeight="1">
      <c r="A20" s="8" t="inlineStr">
        <is>
          <t>Legal and professional charges</t>
        </is>
      </c>
      <c r="B20" s="9" t="inlineStr"/>
      <c r="C20" s="10" t="n">
        <v>10199</v>
      </c>
      <c r="D20" s="10" t="n">
        <v>11270</v>
      </c>
    </row>
    <row r="21" ht="20" customHeight="1">
      <c r="A21" s="8" t="inlineStr">
        <is>
          <t>Marketing and brand building</t>
        </is>
      </c>
      <c r="B21" s="9" t="inlineStr"/>
      <c r="C21" s="10" t="n">
        <v>3480</v>
      </c>
      <c r="D21" s="10" t="n">
        <v>3591</v>
      </c>
    </row>
    <row r="22" ht="20" customHeight="1">
      <c r="A22" s="8" t="inlineStr">
        <is>
          <t>Lifetime expected credit loss</t>
        </is>
      </c>
      <c r="B22" s="9" t="inlineStr"/>
      <c r="C22" s="10" t="n">
        <v>2838</v>
      </c>
      <c r="D22" s="10" t="n">
        <v>324</v>
      </c>
    </row>
    <row r="23" ht="20" customHeight="1">
      <c r="A23" s="8" t="inlineStr">
        <is>
          <t>Other expenses</t>
        </is>
      </c>
      <c r="B23" s="9" t="n">
        <v>27</v>
      </c>
      <c r="C23" s="10" t="n">
        <v>7260</v>
      </c>
      <c r="D23" s="10" t="n">
        <v>5358</v>
      </c>
    </row>
    <row r="24" ht="20" customHeight="1">
      <c r="A24" s="11" t="inlineStr">
        <is>
          <t>Total expenses (B)</t>
        </is>
      </c>
      <c r="B24" s="12" t="inlineStr"/>
      <c r="C24" s="13">
        <f>SUM(C10:C23)</f>
        <v/>
      </c>
      <c r="D24" s="13">
        <f>SUM(D10:D23)</f>
        <v/>
      </c>
    </row>
    <row r="25" ht="20" customHeight="1">
      <c r="A25" s="11" t="inlineStr">
        <is>
          <t>Profit before share of net profit/(loss) of associate and joint venture</t>
        </is>
      </c>
      <c r="B25" s="12" t="inlineStr"/>
      <c r="C25" s="13">
        <f>C8-C24</f>
        <v/>
      </c>
      <c r="D25" s="13">
        <f>D8-D24</f>
        <v/>
      </c>
    </row>
    <row r="26" ht="20" customHeight="1">
      <c r="A26" s="8" t="inlineStr">
        <is>
          <t>Share of net profit/(loss) of associate and joint venture accounted for using the equity method (C)</t>
        </is>
      </c>
      <c r="B26" s="9" t="n">
        <v>9</v>
      </c>
      <c r="C26" s="10" t="n">
        <v>257</v>
      </c>
      <c r="D26" s="10" t="n">
        <v>254</v>
      </c>
    </row>
    <row r="27" ht="20" customHeight="1">
      <c r="A27" s="11" t="inlineStr">
        <is>
          <t>Profit before tax (A)-(B)+(C)</t>
        </is>
      </c>
      <c r="B27" s="12" t="inlineStr"/>
      <c r="C27" s="13">
        <f>C25+C26</f>
        <v/>
      </c>
      <c r="D27" s="13">
        <f>D25+D26</f>
        <v/>
      </c>
    </row>
    <row r="28" ht="20" customHeight="1">
      <c r="A28" s="5" t="inlineStr">
        <is>
          <t>Tax expense</t>
        </is>
      </c>
      <c r="B28" s="6" t="inlineStr"/>
      <c r="C28" s="7" t="inlineStr"/>
      <c r="D28" s="7" t="inlineStr"/>
    </row>
    <row r="29" ht="20" customHeight="1">
      <c r="A29" s="8" t="inlineStr">
        <is>
          <t>Current tax</t>
        </is>
      </c>
      <c r="B29" s="9" t="n">
        <v>28</v>
      </c>
      <c r="C29" s="10" t="n">
        <v>42665</v>
      </c>
      <c r="D29" s="10" t="n">
        <v>45405</v>
      </c>
    </row>
    <row r="30" ht="20" customHeight="1">
      <c r="A30" s="8" t="inlineStr">
        <is>
          <t>Deferred tax</t>
        </is>
      </c>
      <c r="B30" s="9" t="n">
        <v>28</v>
      </c>
      <c r="C30" s="10" t="n">
        <v>-1898</v>
      </c>
      <c r="D30" s="10" t="n">
        <v>-2628</v>
      </c>
    </row>
    <row r="31" ht="20" customHeight="1">
      <c r="A31" s="11" t="inlineStr">
        <is>
          <t>Total tax expense</t>
        </is>
      </c>
      <c r="B31" s="12" t="inlineStr"/>
      <c r="C31" s="13">
        <f>SUM(C29:C30)</f>
        <v/>
      </c>
      <c r="D31" s="13">
        <f>SUM(D29:D30)</f>
        <v/>
      </c>
    </row>
    <row r="32" ht="20" customHeight="1">
      <c r="A32" s="11" t="inlineStr">
        <is>
          <t>Profit for the year</t>
        </is>
      </c>
      <c r="B32" s="12" t="inlineStr"/>
      <c r="C32" s="13">
        <f>C27-C31</f>
        <v/>
      </c>
      <c r="D32" s="13">
        <f>D27-D31</f>
        <v/>
      </c>
    </row>
    <row r="33" ht="20" customHeight="1">
      <c r="A33" s="5" t="inlineStr">
        <is>
          <t>Other Comprehensive Income (OCI)</t>
        </is>
      </c>
      <c r="B33" s="6" t="inlineStr"/>
      <c r="C33" s="7" t="inlineStr"/>
      <c r="D33" s="7" t="inlineStr"/>
    </row>
    <row r="34" ht="20" customHeight="1">
      <c r="A34" s="14" t="inlineStr">
        <is>
          <t>Items that will not be reclassified to profit or loss:</t>
        </is>
      </c>
      <c r="B34" s="15" t="inlineStr"/>
      <c r="C34" s="16" t="inlineStr"/>
      <c r="D34" s="16" t="inlineStr"/>
    </row>
    <row r="35" ht="20" customHeight="1">
      <c r="A35" s="8" t="inlineStr">
        <is>
          <t>Remeasurements of the defined benefit plans, net</t>
        </is>
      </c>
      <c r="B35" s="9" t="n">
        <v>25</v>
      </c>
      <c r="C35" s="10" t="n">
        <v>142</v>
      </c>
      <c r="D35" s="10" t="n">
        <v>323</v>
      </c>
    </row>
    <row r="36" ht="20" customHeight="1">
      <c r="A36" s="8" t="inlineStr">
        <is>
          <t>Net change in fair value of investment in equity instruments measured at fair value through OCI</t>
        </is>
      </c>
      <c r="B36" s="9" t="inlineStr"/>
      <c r="C36" s="10" t="n">
        <v>-1452</v>
      </c>
      <c r="D36" s="10" t="n">
        <v>-3619</v>
      </c>
    </row>
    <row r="37" ht="20" customHeight="1">
      <c r="A37" s="8" t="inlineStr">
        <is>
          <t>Income taxes relating to items that will not be reclassified to profit or loss</t>
        </is>
      </c>
      <c r="B37" s="9" t="n">
        <v>28</v>
      </c>
      <c r="C37" s="10" t="n">
        <v>-6</v>
      </c>
      <c r="D37" s="10" t="n">
        <v>94</v>
      </c>
    </row>
    <row r="38" ht="20" customHeight="1">
      <c r="A38" s="14" t="inlineStr">
        <is>
          <t>Items that will be reclassified to profit or loss:</t>
        </is>
      </c>
      <c r="B38" s="15" t="inlineStr"/>
      <c r="C38" s="16" t="inlineStr"/>
      <c r="D38" s="16" t="inlineStr"/>
    </row>
    <row r="39" ht="20" customHeight="1">
      <c r="A39" s="8" t="inlineStr">
        <is>
          <t>Foreign currency translation differences relating to foreign operations</t>
        </is>
      </c>
      <c r="B39" s="9" t="inlineStr"/>
      <c r="C39" s="10" t="n">
        <v>46128</v>
      </c>
      <c r="D39" s="10" t="n">
        <v>7218</v>
      </c>
    </row>
    <row r="40" ht="20" customHeight="1">
      <c r="A40" s="8" t="inlineStr">
        <is>
          <t>Reclassification of foreign currency translation differences on liquidation of subsidiaries to consolidated statement of profit and loss</t>
        </is>
      </c>
      <c r="B40" s="9" t="n">
        <v>29</v>
      </c>
      <c r="C40" s="10" t="n">
        <v>0</v>
      </c>
      <c r="D40" s="10" t="n">
        <v>-41</v>
      </c>
    </row>
    <row r="41" ht="20" customHeight="1">
      <c r="A41" s="8" t="inlineStr">
        <is>
          <t>Net change in time value of option contracts designated as cash flow hedges</t>
        </is>
      </c>
      <c r="B41" s="9" t="n">
        <v>10</v>
      </c>
      <c r="C41" s="10" t="n">
        <v>73</v>
      </c>
      <c r="D41" s="10" t="n">
        <v>-248</v>
      </c>
    </row>
    <row r="42" ht="20" customHeight="1">
      <c r="A42" s="8" t="inlineStr">
        <is>
          <t>Net change in intrinsic value of option contracts designated as cash flow hedges</t>
        </is>
      </c>
      <c r="B42" s="9" t="n">
        <v>10</v>
      </c>
      <c r="C42" s="10" t="n">
        <v>-1622</v>
      </c>
      <c r="D42" s="10" t="n">
        <v>193</v>
      </c>
    </row>
    <row r="43" ht="20" customHeight="1">
      <c r="A43" s="8" t="inlineStr">
        <is>
          <t>Net change in fair value of forward contracts designated as cash flow hedges</t>
        </is>
      </c>
      <c r="B43" s="9" t="n">
        <v>10</v>
      </c>
      <c r="C43" s="10" t="n">
        <v>-7902</v>
      </c>
      <c r="D43" s="10" t="n">
        <v>-993</v>
      </c>
    </row>
    <row r="44" ht="20" customHeight="1">
      <c r="A44" s="8" t="inlineStr">
        <is>
          <t>Net change in fair value of investment in debt instruments measured at fair value through OCI</t>
        </is>
      </c>
      <c r="B44" s="9" t="inlineStr"/>
      <c r="C44" s="10" t="n">
        <v>-2413</v>
      </c>
      <c r="D44" s="10" t="n">
        <v>1189</v>
      </c>
    </row>
    <row r="45" ht="20" customHeight="1">
      <c r="A45" s="8" t="inlineStr">
        <is>
          <t>Income taxes relating to items that will be reclassified to profit or loss</t>
        </is>
      </c>
      <c r="B45" s="9" t="n">
        <v>28</v>
      </c>
      <c r="C45" s="10" t="n">
        <v>2576</v>
      </c>
      <c r="D45" s="10" t="n">
        <v>34</v>
      </c>
    </row>
    <row r="46" ht="20" customHeight="1">
      <c r="A46" s="11" t="inlineStr">
        <is>
          <t>Total other comprehensive income for the year, net of taxes</t>
        </is>
      </c>
      <c r="B46" s="12" t="inlineStr"/>
      <c r="C46" s="13">
        <f>SUM(C35:C41)</f>
        <v/>
      </c>
      <c r="D46" s="13">
        <f>SUM(D35:D41)</f>
        <v/>
      </c>
    </row>
    <row r="47" ht="20" customHeight="1">
      <c r="A47" s="11" t="inlineStr">
        <is>
          <t>Total comprehensive income for the year</t>
        </is>
      </c>
      <c r="B47" s="12" t="inlineStr"/>
      <c r="C47" s="13">
        <f>C32+C42</f>
        <v/>
      </c>
      <c r="D47" s="13">
        <f>D32+D42</f>
        <v/>
      </c>
    </row>
    <row r="48" ht="20" customHeight="1">
      <c r="A48" s="5" t="inlineStr">
        <is>
          <t>Profit for the year attributable to:</t>
        </is>
      </c>
      <c r="B48" s="6" t="inlineStr"/>
      <c r="C48" s="7" t="inlineStr"/>
      <c r="D48" s="7" t="inlineStr"/>
    </row>
    <row r="49" ht="20" customHeight="1">
      <c r="A49" s="8" t="inlineStr">
        <is>
          <t>Equity holders of the Company</t>
        </is>
      </c>
      <c r="B49" s="9" t="inlineStr"/>
      <c r="C49" s="10" t="n">
        <v>131974</v>
      </c>
      <c r="D49" s="10" t="n">
        <v>131354</v>
      </c>
    </row>
    <row r="50" ht="20" customHeight="1">
      <c r="A50" s="8" t="inlineStr">
        <is>
          <t>Non-controlling interests</t>
        </is>
      </c>
      <c r="B50" s="9" t="inlineStr"/>
      <c r="C50" s="10" t="n">
        <v>681</v>
      </c>
      <c r="D50" s="10" t="n">
        <v>826</v>
      </c>
    </row>
    <row r="51" ht="20" customHeight="1">
      <c r="A51" s="11" t="inlineStr">
        <is>
          <t>Total Profit Attributable</t>
        </is>
      </c>
      <c r="B51" s="12" t="inlineStr"/>
      <c r="C51" s="13">
        <f>SUM(C45:C46)</f>
        <v/>
      </c>
      <c r="D51" s="13">
        <f>SUM(D45:D46)</f>
        <v/>
      </c>
    </row>
    <row r="52" ht="20" customHeight="1">
      <c r="A52" s="5" t="inlineStr">
        <is>
          <t>Other comprehensive income for the year attributable to:</t>
        </is>
      </c>
      <c r="B52" s="6" t="inlineStr"/>
      <c r="C52" s="7" t="inlineStr"/>
      <c r="D52" s="7" t="inlineStr"/>
    </row>
    <row r="53" ht="20" customHeight="1">
      <c r="A53" s="8" t="inlineStr">
        <is>
          <t>Equity holders of the Company</t>
        </is>
      </c>
      <c r="B53" s="9" t="inlineStr"/>
      <c r="C53" s="10" t="n">
        <v>35276</v>
      </c>
      <c r="D53" s="10" t="n">
        <v>4126</v>
      </c>
    </row>
    <row r="54" ht="20" customHeight="1">
      <c r="A54" s="8" t="inlineStr">
        <is>
          <t>Non-controlling interests</t>
        </is>
      </c>
      <c r="B54" s="9" t="inlineStr"/>
      <c r="C54" s="10" t="n">
        <v>246</v>
      </c>
      <c r="D54" s="10" t="n">
        <v>22</v>
      </c>
    </row>
    <row r="55" ht="20" customHeight="1">
      <c r="A55" s="11" t="inlineStr">
        <is>
          <t>Total OCI Attributable</t>
        </is>
      </c>
      <c r="B55" s="12" t="inlineStr"/>
      <c r="C55" s="13">
        <f>SUM(C49:C50)</f>
        <v/>
      </c>
      <c r="D55" s="13">
        <f>SUM(D49:D50)</f>
        <v/>
      </c>
    </row>
    <row r="56" ht="20" customHeight="1">
      <c r="A56" s="5" t="inlineStr">
        <is>
          <t>Total comprehensive income for the year attributable to:</t>
        </is>
      </c>
      <c r="B56" s="6" t="inlineStr"/>
      <c r="C56" s="7" t="inlineStr"/>
      <c r="D56" s="7" t="inlineStr"/>
    </row>
    <row r="57" ht="20" customHeight="1">
      <c r="A57" s="8" t="inlineStr">
        <is>
          <t>Equity holders of the Company</t>
        </is>
      </c>
      <c r="B57" s="9" t="inlineStr"/>
      <c r="C57" s="10" t="n">
        <v>167250</v>
      </c>
      <c r="D57" s="10" t="n">
        <v>135480</v>
      </c>
    </row>
    <row r="58" ht="20" customHeight="1">
      <c r="A58" s="8" t="inlineStr">
        <is>
          <t>Non-controlling interests</t>
        </is>
      </c>
      <c r="B58" s="9" t="inlineStr"/>
      <c r="C58" s="10" t="n">
        <v>927</v>
      </c>
      <c r="D58" s="10" t="n">
        <v>848</v>
      </c>
    </row>
    <row r="59" ht="20" customHeight="1">
      <c r="A59" s="11" t="inlineStr">
        <is>
          <t>Total Comprehensive Income Attributable</t>
        </is>
      </c>
      <c r="B59" s="12" t="inlineStr"/>
      <c r="C59" s="13">
        <f>SUM(C53:C54)</f>
        <v/>
      </c>
      <c r="D59" s="13">
        <f>SUM(D53:D54)</f>
        <v/>
      </c>
    </row>
    <row r="60" ht="20" customHeight="1">
      <c r="A60" s="5" t="inlineStr">
        <is>
          <t>Earnings per equity share: (Equity shares of par value ₹ 2 each)</t>
        </is>
      </c>
      <c r="B60" s="6" t="n">
        <v>30</v>
      </c>
      <c r="C60" s="7" t="inlineStr"/>
      <c r="D60" s="7" t="inlineStr"/>
    </row>
    <row r="61" ht="20" customHeight="1">
      <c r="A61" s="8" t="inlineStr">
        <is>
          <t>Basic</t>
        </is>
      </c>
      <c r="B61" s="9" t="inlineStr"/>
      <c r="C61" s="10" t="n">
        <v>12.6</v>
      </c>
      <c r="D61" s="10" t="n">
        <v>12.56</v>
      </c>
    </row>
    <row r="62" ht="20" customHeight="1">
      <c r="A62" s="8" t="inlineStr">
        <is>
          <t>Diluted</t>
        </is>
      </c>
      <c r="B62" s="9" t="inlineStr"/>
      <c r="C62" s="10" t="n">
        <v>12.58</v>
      </c>
      <c r="D62" s="10" t="n">
        <v>12.52</v>
      </c>
    </row>
    <row r="63" ht="20" customHeight="1">
      <c r="A63" s="5" t="inlineStr">
        <is>
          <t>Weighted average number of equity shares used in computing earnings per equity share</t>
        </is>
      </c>
      <c r="B63" s="6" t="inlineStr"/>
      <c r="C63" s="7" t="inlineStr"/>
      <c r="D63" s="7" t="inlineStr"/>
    </row>
    <row r="64" ht="20" customHeight="1">
      <c r="A64" s="8" t="inlineStr">
        <is>
          <t>Basic</t>
        </is>
      </c>
      <c r="B64" s="9" t="inlineStr"/>
      <c r="C64" s="10" t="n">
        <v>10476247846</v>
      </c>
      <c r="D64" s="10" t="n">
        <v>10458741552</v>
      </c>
    </row>
    <row r="65" ht="20" customHeight="1">
      <c r="A65" s="8" t="inlineStr">
        <is>
          <t>Diluted</t>
        </is>
      </c>
      <c r="B65" s="9" t="inlineStr"/>
      <c r="C65" s="10" t="n">
        <v>10503422938</v>
      </c>
      <c r="D65" s="10" t="n">
        <v>10488939392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(₹ in millions, except share and per share data, unless otherwise stated)</t>
        </is>
      </c>
    </row>
    <row r="4" ht="28" customHeight="1">
      <c r="A4" s="3" t="inlineStr">
        <is>
          <t>Particulars</t>
        </is>
      </c>
      <c r="B4" s="4" t="inlineStr">
        <is>
          <t>Notes</t>
        </is>
      </c>
      <c r="C4" s="4" t="inlineStr">
        <is>
          <t>As at
March 31, 2026</t>
        </is>
      </c>
      <c r="D4" s="4" t="inlineStr">
        <is>
          <t>As at
March 31, 2025</t>
        </is>
      </c>
    </row>
    <row r="5" ht="20" customHeight="1">
      <c r="A5" s="5" t="inlineStr">
        <is>
          <t>ASSETS</t>
        </is>
      </c>
      <c r="B5" s="6" t="inlineStr"/>
      <c r="C5" s="7" t="inlineStr"/>
      <c r="D5" s="7" t="inlineStr"/>
    </row>
    <row r="6" ht="20" customHeight="1">
      <c r="A6" s="14" t="inlineStr">
        <is>
          <t>Non-current assets</t>
        </is>
      </c>
      <c r="B6" s="15" t="inlineStr"/>
      <c r="C6" s="16" t="inlineStr"/>
      <c r="D6" s="16" t="inlineStr"/>
    </row>
    <row r="7" ht="20" customHeight="1">
      <c r="A7" s="8" t="inlineStr">
        <is>
          <t>Property, plant and equipment</t>
        </is>
      </c>
      <c r="B7" s="9" t="n">
        <v>4</v>
      </c>
      <c r="C7" s="10" t="n">
        <v>77224</v>
      </c>
      <c r="D7" s="10" t="n">
        <v>78473</v>
      </c>
    </row>
    <row r="8" ht="20" customHeight="1">
      <c r="A8" s="8" t="inlineStr">
        <is>
          <t>Right-of-Use assets</t>
        </is>
      </c>
      <c r="B8" s="9" t="n">
        <v>5</v>
      </c>
      <c r="C8" s="10" t="n">
        <v>28287</v>
      </c>
      <c r="D8" s="10" t="n">
        <v>25698</v>
      </c>
    </row>
    <row r="9" ht="20" customHeight="1">
      <c r="A9" s="8" t="inlineStr">
        <is>
          <t>Capital work-in-progress</t>
        </is>
      </c>
      <c r="B9" s="9" t="n">
        <v>6</v>
      </c>
      <c r="C9" s="10" t="n">
        <v>4122</v>
      </c>
      <c r="D9" s="10" t="n">
        <v>1984</v>
      </c>
    </row>
    <row r="10" ht="20" customHeight="1">
      <c r="A10" s="8" t="inlineStr">
        <is>
          <t>Goodwill</t>
        </is>
      </c>
      <c r="B10" s="9" t="n">
        <v>7</v>
      </c>
      <c r="C10" s="10" t="n">
        <v>382214</v>
      </c>
      <c r="D10" s="10" t="n">
        <v>320346</v>
      </c>
    </row>
    <row r="11" ht="20" customHeight="1">
      <c r="A11" s="8" t="inlineStr">
        <is>
          <t>Other intangible assets</t>
        </is>
      </c>
      <c r="B11" s="9" t="n">
        <v>7</v>
      </c>
      <c r="C11" s="10" t="n">
        <v>29176</v>
      </c>
      <c r="D11" s="10" t="n">
        <v>27460</v>
      </c>
    </row>
    <row r="12" ht="20" customHeight="1">
      <c r="A12" s="8" t="inlineStr">
        <is>
          <t>Investments accounted for using the equity method</t>
        </is>
      </c>
      <c r="B12" s="9" t="n">
        <v>9</v>
      </c>
      <c r="C12" s="10" t="n">
        <v>2126</v>
      </c>
      <c r="D12" s="10" t="n">
        <v>1327</v>
      </c>
    </row>
    <row r="13" ht="20" customHeight="1">
      <c r="A13" s="14" t="inlineStr">
        <is>
          <t>Financial assets</t>
        </is>
      </c>
      <c r="B13" s="15" t="inlineStr"/>
      <c r="C13" s="16" t="inlineStr"/>
      <c r="D13" s="16" t="inlineStr"/>
    </row>
    <row r="14" ht="20" customHeight="1">
      <c r="A14" s="8" t="inlineStr">
        <is>
          <t>Investments</t>
        </is>
      </c>
      <c r="B14" s="9" t="n">
        <v>9</v>
      </c>
      <c r="C14" s="10" t="n">
        <v>28053</v>
      </c>
      <c r="D14" s="10" t="n">
        <v>26468</v>
      </c>
    </row>
    <row r="15" ht="20" customHeight="1">
      <c r="A15" s="8" t="inlineStr">
        <is>
          <t>Derivative assets</t>
        </is>
      </c>
      <c r="B15" s="9" t="n">
        <v>10</v>
      </c>
      <c r="C15" s="10" t="n">
        <v>0</v>
      </c>
      <c r="D15" s="10" t="n">
        <v>0</v>
      </c>
    </row>
    <row r="16" ht="20" customHeight="1">
      <c r="A16" s="8" t="inlineStr">
        <is>
          <t>Trade receivables</t>
        </is>
      </c>
      <c r="B16" s="9" t="n">
        <v>11</v>
      </c>
      <c r="C16" s="10" t="n">
        <v>349</v>
      </c>
      <c r="D16" s="10" t="n">
        <v>299</v>
      </c>
    </row>
    <row r="17" ht="20" customHeight="1">
      <c r="A17" s="8" t="inlineStr">
        <is>
          <t>Unbilled receivables</t>
        </is>
      </c>
      <c r="B17" s="9" t="inlineStr"/>
      <c r="C17" s="10" t="n">
        <v>7433</v>
      </c>
      <c r="D17" s="10" t="n">
        <v>0</v>
      </c>
    </row>
    <row r="18" ht="20" customHeight="1">
      <c r="A18" s="8" t="inlineStr">
        <is>
          <t>Other financial assets</t>
        </is>
      </c>
      <c r="B18" s="9" t="n">
        <v>12</v>
      </c>
      <c r="C18" s="10" t="n">
        <v>6259</v>
      </c>
      <c r="D18" s="10" t="n">
        <v>4684</v>
      </c>
    </row>
    <row r="19" ht="20" customHeight="1">
      <c r="A19" s="8" t="inlineStr">
        <is>
          <t>Deferred tax assets (net)</t>
        </is>
      </c>
      <c r="B19" s="9" t="n">
        <v>28</v>
      </c>
      <c r="C19" s="10" t="n">
        <v>5242</v>
      </c>
      <c r="D19" s="10" t="n">
        <v>2661</v>
      </c>
    </row>
    <row r="20" ht="20" customHeight="1">
      <c r="A20" s="8" t="inlineStr">
        <is>
          <t>Non-current tax assets (net)</t>
        </is>
      </c>
      <c r="B20" s="9" t="inlineStr"/>
      <c r="C20" s="10" t="n">
        <v>7787</v>
      </c>
      <c r="D20" s="10" t="n">
        <v>7230</v>
      </c>
    </row>
    <row r="21" ht="20" customHeight="1">
      <c r="A21" s="8" t="inlineStr">
        <is>
          <t>Other non-current assets</t>
        </is>
      </c>
      <c r="B21" s="9" t="n">
        <v>13</v>
      </c>
      <c r="C21" s="10" t="n">
        <v>9451</v>
      </c>
      <c r="D21" s="10" t="n">
        <v>7707</v>
      </c>
    </row>
    <row r="22" ht="20" customHeight="1">
      <c r="A22" s="11" t="inlineStr">
        <is>
          <t>Total non-current assets</t>
        </is>
      </c>
      <c r="B22" s="12" t="inlineStr"/>
      <c r="C22" s="13">
        <f>SUM(C7:C21)</f>
        <v/>
      </c>
      <c r="D22" s="13">
        <f>SUM(D7:D21)</f>
        <v/>
      </c>
    </row>
    <row r="23" ht="20" customHeight="1">
      <c r="A23" s="14" t="inlineStr">
        <is>
          <t>Current assets</t>
        </is>
      </c>
      <c r="B23" s="15" t="inlineStr"/>
      <c r="C23" s="16" t="inlineStr"/>
      <c r="D23" s="16" t="inlineStr"/>
    </row>
    <row r="24" ht="20" customHeight="1">
      <c r="A24" s="8" t="inlineStr">
        <is>
          <t>Inventories</t>
        </is>
      </c>
      <c r="B24" s="9" t="n">
        <v>14</v>
      </c>
      <c r="C24" s="10" t="n">
        <v>517</v>
      </c>
      <c r="D24" s="10" t="n">
        <v>694</v>
      </c>
    </row>
    <row r="25" ht="20" customHeight="1">
      <c r="A25" s="14" t="inlineStr">
        <is>
          <t>Financial assets</t>
        </is>
      </c>
      <c r="B25" s="15" t="inlineStr"/>
      <c r="C25" s="16" t="inlineStr"/>
      <c r="D25" s="16" t="inlineStr"/>
    </row>
    <row r="26" ht="20" customHeight="1">
      <c r="A26" s="8" t="inlineStr">
        <is>
          <t>Investments</t>
        </is>
      </c>
      <c r="B26" s="9" t="n">
        <v>9</v>
      </c>
      <c r="C26" s="10" t="n">
        <v>437680</v>
      </c>
      <c r="D26" s="10" t="n">
        <v>411474</v>
      </c>
    </row>
    <row r="27" ht="20" customHeight="1">
      <c r="A27" s="8" t="inlineStr">
        <is>
          <t>Derivative assets</t>
        </is>
      </c>
      <c r="B27" s="9" t="n">
        <v>10</v>
      </c>
      <c r="C27" s="10" t="n">
        <v>888</v>
      </c>
      <c r="D27" s="10" t="n">
        <v>1820</v>
      </c>
    </row>
    <row r="28" ht="20" customHeight="1">
      <c r="A28" s="8" t="inlineStr">
        <is>
          <t>Trade receivables</t>
        </is>
      </c>
      <c r="B28" s="9" t="n">
        <v>11</v>
      </c>
      <c r="C28" s="10" t="n">
        <v>135901</v>
      </c>
      <c r="D28" s="10" t="n">
        <v>117746</v>
      </c>
    </row>
    <row r="29" ht="20" customHeight="1">
      <c r="A29" s="8" t="inlineStr">
        <is>
          <t>Unbilled receivables</t>
        </is>
      </c>
      <c r="B29" s="9" t="inlineStr"/>
      <c r="C29" s="10" t="n">
        <v>76823</v>
      </c>
      <c r="D29" s="10" t="n">
        <v>64280</v>
      </c>
    </row>
    <row r="30" ht="20" customHeight="1">
      <c r="A30" s="8" t="inlineStr">
        <is>
          <t>Cash and cash equivalents</t>
        </is>
      </c>
      <c r="B30" s="9" t="n">
        <v>15</v>
      </c>
      <c r="C30" s="10" t="n">
        <v>105555</v>
      </c>
      <c r="D30" s="10" t="n">
        <v>121974</v>
      </c>
    </row>
    <row r="31" ht="20" customHeight="1">
      <c r="A31" s="8" t="inlineStr">
        <is>
          <t>Other financial assets</t>
        </is>
      </c>
      <c r="B31" s="9" t="n">
        <v>12</v>
      </c>
      <c r="C31" s="10" t="n">
        <v>10245</v>
      </c>
      <c r="D31" s="10" t="n">
        <v>8448</v>
      </c>
    </row>
    <row r="32" ht="20" customHeight="1">
      <c r="A32" s="8" t="inlineStr">
        <is>
          <t>Current tax assets (net)</t>
        </is>
      </c>
      <c r="B32" s="9" t="inlineStr"/>
      <c r="C32" s="10" t="n">
        <v>10762</v>
      </c>
      <c r="D32" s="10" t="n">
        <v>6417</v>
      </c>
    </row>
    <row r="33" ht="20" customHeight="1">
      <c r="A33" s="8" t="inlineStr">
        <is>
          <t>Contract assets</t>
        </is>
      </c>
      <c r="B33" s="9" t="inlineStr"/>
      <c r="C33" s="10" t="n">
        <v>14819</v>
      </c>
      <c r="D33" s="10" t="n">
        <v>15795</v>
      </c>
    </row>
    <row r="34" ht="20" customHeight="1">
      <c r="A34" s="8" t="inlineStr">
        <is>
          <t>Other current assets</t>
        </is>
      </c>
      <c r="B34" s="9" t="n">
        <v>13</v>
      </c>
      <c r="C34" s="10" t="n">
        <v>33164</v>
      </c>
      <c r="D34" s="10" t="n">
        <v>29128</v>
      </c>
    </row>
    <row r="35" ht="20" customHeight="1">
      <c r="A35" s="11" t="inlineStr">
        <is>
          <t>Total current assets</t>
        </is>
      </c>
      <c r="B35" s="12" t="inlineStr"/>
      <c r="C35" s="13">
        <f>SUM(C24:C34)</f>
        <v/>
      </c>
      <c r="D35" s="13">
        <f>SUM(D24:D34)</f>
        <v/>
      </c>
    </row>
    <row r="36" ht="20" customHeight="1">
      <c r="A36" s="5" t="inlineStr">
        <is>
          <t>TOTAL ASSETS</t>
        </is>
      </c>
      <c r="B36" s="6" t="inlineStr"/>
      <c r="C36" s="17">
        <f>C22+C35</f>
        <v/>
      </c>
      <c r="D36" s="17">
        <f>D22+D35</f>
        <v/>
      </c>
    </row>
    <row r="37" ht="20" customHeight="1">
      <c r="A37" s="5" t="inlineStr">
        <is>
          <t>EQUITY AND LIABILITIES</t>
        </is>
      </c>
      <c r="B37" s="6" t="inlineStr"/>
      <c r="C37" s="7" t="inlineStr"/>
      <c r="D37" s="7" t="inlineStr"/>
    </row>
    <row r="38" ht="20" customHeight="1">
      <c r="A38" s="5" t="inlineStr">
        <is>
          <t>EQUITY</t>
        </is>
      </c>
      <c r="B38" s="6" t="inlineStr"/>
      <c r="C38" s="7" t="inlineStr"/>
      <c r="D38" s="7" t="inlineStr"/>
    </row>
    <row r="39" ht="20" customHeight="1">
      <c r="A39" s="8" t="inlineStr">
        <is>
          <t>Equity share capital</t>
        </is>
      </c>
      <c r="B39" s="9" t="n">
        <v>16</v>
      </c>
      <c r="C39" s="10" t="n">
        <v>20977</v>
      </c>
      <c r="D39" s="10" t="n">
        <v>20944</v>
      </c>
    </row>
    <row r="40" ht="20" customHeight="1">
      <c r="A40" s="8" t="inlineStr">
        <is>
          <t>Other equity</t>
        </is>
      </c>
      <c r="B40" s="9" t="inlineStr"/>
      <c r="C40" s="10" t="n">
        <v>859206</v>
      </c>
      <c r="D40" s="10" t="n">
        <v>802697</v>
      </c>
    </row>
    <row r="41" ht="20" customHeight="1">
      <c r="A41" s="11" t="inlineStr">
        <is>
          <t>Equity attributable to the equity holders of the Company</t>
        </is>
      </c>
      <c r="B41" s="12" t="inlineStr"/>
      <c r="C41" s="13">
        <f>SUM(C39:C40)</f>
        <v/>
      </c>
      <c r="D41" s="13">
        <f>SUM(D39:D40)</f>
        <v/>
      </c>
    </row>
    <row r="42" ht="20" customHeight="1">
      <c r="A42" s="8" t="inlineStr">
        <is>
          <t>Non-controlling interests</t>
        </is>
      </c>
      <c r="B42" s="9" t="inlineStr"/>
      <c r="C42" s="10" t="n">
        <v>2509</v>
      </c>
      <c r="D42" s="10" t="n">
        <v>2138</v>
      </c>
    </row>
    <row r="43" ht="20" customHeight="1">
      <c r="A43" s="5" t="inlineStr">
        <is>
          <t>TOTAL EQUITY</t>
        </is>
      </c>
      <c r="B43" s="6" t="inlineStr"/>
      <c r="C43" s="17">
        <f>C41+C42</f>
        <v/>
      </c>
      <c r="D43" s="17">
        <f>D41+D42</f>
        <v/>
      </c>
    </row>
    <row r="44" ht="20" customHeight="1">
      <c r="A44" s="5" t="inlineStr">
        <is>
          <t>LIABILITIES</t>
        </is>
      </c>
      <c r="B44" s="6" t="inlineStr"/>
      <c r="C44" s="7" t="inlineStr"/>
      <c r="D44" s="7" t="inlineStr"/>
    </row>
    <row r="45" ht="20" customHeight="1">
      <c r="A45" s="14" t="inlineStr">
        <is>
          <t>Non-current liabilities</t>
        </is>
      </c>
      <c r="B45" s="15" t="inlineStr"/>
      <c r="C45" s="16" t="inlineStr"/>
      <c r="D45" s="16" t="inlineStr"/>
    </row>
    <row r="46" ht="20" customHeight="1">
      <c r="A46" s="14" t="inlineStr">
        <is>
          <t>Financial liabilities</t>
        </is>
      </c>
      <c r="B46" s="15" t="inlineStr"/>
      <c r="C46" s="16" t="inlineStr"/>
      <c r="D46" s="16" t="inlineStr"/>
    </row>
    <row r="47" ht="20" customHeight="1">
      <c r="A47" s="8" t="inlineStr">
        <is>
          <t>Borrowings</t>
        </is>
      </c>
      <c r="B47" s="9" t="n">
        <v>17</v>
      </c>
      <c r="C47" s="10" t="n">
        <v>1962</v>
      </c>
      <c r="D47" s="10" t="n">
        <v>63954</v>
      </c>
    </row>
    <row r="48" ht="20" customHeight="1">
      <c r="A48" s="8" t="inlineStr">
        <is>
          <t>Lease liabilities</t>
        </is>
      </c>
      <c r="B48" s="9" t="n">
        <v>6</v>
      </c>
      <c r="C48" s="10" t="n">
        <v>26327</v>
      </c>
      <c r="D48" s="10" t="n">
        <v>22193</v>
      </c>
    </row>
    <row r="49" ht="20" customHeight="1">
      <c r="A49" s="8" t="inlineStr">
        <is>
          <t>Trade payables</t>
        </is>
      </c>
      <c r="B49" s="9" t="n">
        <v>21</v>
      </c>
      <c r="C49" s="10" t="n">
        <v>4394</v>
      </c>
      <c r="D49" s="10" t="n">
        <v>0</v>
      </c>
    </row>
    <row r="50" ht="20" customHeight="1">
      <c r="A50" s="8" t="inlineStr">
        <is>
          <t>Other financial liabilities</t>
        </is>
      </c>
      <c r="B50" s="9" t="n">
        <v>18</v>
      </c>
      <c r="C50" s="10" t="n">
        <v>6743</v>
      </c>
      <c r="D50" s="10" t="n">
        <v>7793</v>
      </c>
    </row>
    <row r="51" ht="20" customHeight="1">
      <c r="A51" s="8" t="inlineStr">
        <is>
          <t>Provisions</t>
        </is>
      </c>
      <c r="B51" s="9" t="n">
        <v>19</v>
      </c>
      <c r="C51" s="10" t="n">
        <v>5389</v>
      </c>
      <c r="D51" s="10" t="n">
        <v>4656</v>
      </c>
    </row>
    <row r="52" ht="20" customHeight="1">
      <c r="A52" s="8" t="inlineStr">
        <is>
          <t>Deferred tax liabilities (net)</t>
        </is>
      </c>
      <c r="B52" s="9" t="n">
        <v>28</v>
      </c>
      <c r="C52" s="10" t="n">
        <v>17266</v>
      </c>
      <c r="D52" s="10" t="n">
        <v>16443</v>
      </c>
    </row>
    <row r="53" ht="20" customHeight="1">
      <c r="A53" s="8" t="inlineStr">
        <is>
          <t>Non-current tax liabilities (net)</t>
        </is>
      </c>
      <c r="B53" s="9" t="inlineStr"/>
      <c r="C53" s="10" t="n">
        <v>48195</v>
      </c>
      <c r="D53" s="10" t="n">
        <v>42024</v>
      </c>
    </row>
    <row r="54" ht="20" customHeight="1">
      <c r="A54" s="8" t="inlineStr">
        <is>
          <t>Other non-current liabilities</t>
        </is>
      </c>
      <c r="B54" s="9" t="n">
        <v>20</v>
      </c>
      <c r="C54" s="10" t="n">
        <v>17877</v>
      </c>
      <c r="D54" s="10" t="n">
        <v>12767</v>
      </c>
    </row>
    <row r="55" ht="20" customHeight="1">
      <c r="A55" s="11" t="inlineStr">
        <is>
          <t>Total non-current liabilities</t>
        </is>
      </c>
      <c r="B55" s="12" t="inlineStr"/>
      <c r="C55" s="13">
        <f>SUM(C47:C54)</f>
        <v/>
      </c>
      <c r="D55" s="13">
        <f>SUM(D47:D54)</f>
        <v/>
      </c>
    </row>
    <row r="56" ht="20" customHeight="1">
      <c r="A56" s="14" t="inlineStr">
        <is>
          <t>Current liabilities</t>
        </is>
      </c>
      <c r="B56" s="15" t="inlineStr"/>
      <c r="C56" s="16" t="inlineStr"/>
      <c r="D56" s="16" t="inlineStr"/>
    </row>
    <row r="57" ht="20" customHeight="1">
      <c r="A57" s="14" t="inlineStr">
        <is>
          <t>Financial liabilities</t>
        </is>
      </c>
      <c r="B57" s="15" t="inlineStr"/>
      <c r="C57" s="16" t="inlineStr"/>
      <c r="D57" s="16" t="inlineStr"/>
    </row>
    <row r="58" ht="20" customHeight="1">
      <c r="A58" s="8" t="inlineStr">
        <is>
          <t>Borrowings</t>
        </is>
      </c>
      <c r="B58" s="9" t="n">
        <v>17</v>
      </c>
      <c r="C58" s="10" t="n">
        <v>165912</v>
      </c>
      <c r="D58" s="10" t="n">
        <v>97863</v>
      </c>
    </row>
    <row r="59" ht="20" customHeight="1">
      <c r="A59" s="8" t="inlineStr">
        <is>
          <t>Lease liabilities</t>
        </is>
      </c>
      <c r="B59" s="9" t="n">
        <v>6</v>
      </c>
      <c r="C59" s="10" t="n">
        <v>8709</v>
      </c>
      <c r="D59" s="10" t="n">
        <v>8026</v>
      </c>
    </row>
    <row r="60" ht="20" customHeight="1">
      <c r="A60" s="8" t="inlineStr">
        <is>
          <t>Derivative liabilities</t>
        </is>
      </c>
      <c r="B60" s="9" t="n">
        <v>10</v>
      </c>
      <c r="C60" s="10" t="n">
        <v>10978</v>
      </c>
      <c r="D60" s="10" t="n">
        <v>968</v>
      </c>
    </row>
    <row r="61" ht="20" customHeight="1">
      <c r="A61" s="8" t="inlineStr">
        <is>
          <t>Trade payables</t>
        </is>
      </c>
      <c r="B61" s="9" t="n">
        <v>21</v>
      </c>
      <c r="C61" s="10" t="n">
        <v>62894</v>
      </c>
      <c r="D61" s="10" t="n">
        <v>68667</v>
      </c>
    </row>
    <row r="62" ht="20" customHeight="1">
      <c r="A62" s="8" t="inlineStr">
        <is>
          <t>Other financial liabilities</t>
        </is>
      </c>
      <c r="B62" s="9" t="n">
        <v>18</v>
      </c>
      <c r="C62" s="10" t="n">
        <v>43387</v>
      </c>
      <c r="D62" s="10" t="n">
        <v>33463</v>
      </c>
    </row>
    <row r="63" ht="20" customHeight="1">
      <c r="A63" s="8" t="inlineStr">
        <is>
          <t>Contract liabilities</t>
        </is>
      </c>
      <c r="B63" s="9" t="inlineStr"/>
      <c r="C63" s="10" t="n">
        <v>25434</v>
      </c>
      <c r="D63" s="10" t="n">
        <v>20063</v>
      </c>
    </row>
    <row r="64" ht="20" customHeight="1">
      <c r="A64" s="8" t="inlineStr">
        <is>
          <t>Other current liabilities</t>
        </is>
      </c>
      <c r="B64" s="9" t="n">
        <v>20</v>
      </c>
      <c r="C64" s="10" t="n">
        <v>16834</v>
      </c>
      <c r="D64" s="10" t="n">
        <v>15085</v>
      </c>
    </row>
    <row r="65" ht="20" customHeight="1">
      <c r="A65" s="8" t="inlineStr">
        <is>
          <t>Provisions</t>
        </is>
      </c>
      <c r="B65" s="9" t="n">
        <v>19</v>
      </c>
      <c r="C65" s="10" t="n">
        <v>19463</v>
      </c>
      <c r="D65" s="10" t="n">
        <v>17638</v>
      </c>
    </row>
    <row r="66" ht="20" customHeight="1">
      <c r="A66" s="8" t="inlineStr">
        <is>
          <t>Current tax liabilities (net)</t>
        </is>
      </c>
      <c r="B66" s="9" t="inlineStr"/>
      <c r="C66" s="10" t="n">
        <v>49621</v>
      </c>
      <c r="D66" s="10" t="n">
        <v>34481</v>
      </c>
    </row>
    <row r="67" ht="20" customHeight="1">
      <c r="A67" s="11" t="inlineStr">
        <is>
          <t>Total current liabilities</t>
        </is>
      </c>
      <c r="B67" s="12" t="inlineStr"/>
      <c r="C67" s="13">
        <f>SUM(C58:C66)</f>
        <v/>
      </c>
      <c r="D67" s="13">
        <f>SUM(D58:D66)</f>
        <v/>
      </c>
    </row>
    <row r="68" ht="20" customHeight="1">
      <c r="A68" s="5" t="inlineStr">
        <is>
          <t>TOTAL LIABILITIES</t>
        </is>
      </c>
      <c r="B68" s="6" t="inlineStr"/>
      <c r="C68" s="17">
        <f>C55+C67</f>
        <v/>
      </c>
      <c r="D68" s="17">
        <f>D55+D67</f>
        <v/>
      </c>
    </row>
    <row r="69" ht="20" customHeight="1">
      <c r="A69" s="5" t="inlineStr">
        <is>
          <t>TOTAL EQUITY AND LIABILITIES</t>
        </is>
      </c>
      <c r="B69" s="6" t="inlineStr"/>
      <c r="C69" s="17">
        <f>C43+C68</f>
        <v/>
      </c>
      <c r="D69" s="17">
        <f>D43+D68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Consolidated Statements of Cash Flows</t>
        </is>
      </c>
    </row>
    <row r="2">
      <c r="A2" s="2" t="inlineStr">
        <is>
          <t>(₹ in millions, except share and per share data, unless otherwise stated)</t>
        </is>
      </c>
    </row>
    <row r="4" ht="28" customHeight="1">
      <c r="A4" s="3" t="inlineStr">
        <is>
          <t>Particulars</t>
        </is>
      </c>
      <c r="B4" s="4" t="inlineStr">
        <is>
          <t>Notes</t>
        </is>
      </c>
      <c r="C4" s="4" t="inlineStr">
        <is>
          <t>For the year ended
March 31, 2026</t>
        </is>
      </c>
      <c r="D4" s="4" t="inlineStr">
        <is>
          <t>For the year ended
March 31, 2025</t>
        </is>
      </c>
    </row>
    <row r="5" ht="20" customHeight="1">
      <c r="A5" s="5" t="inlineStr">
        <is>
          <t>Cash flows from operating activities:</t>
        </is>
      </c>
      <c r="B5" s="6" t="inlineStr"/>
      <c r="C5" s="7" t="inlineStr"/>
      <c r="D5" s="7" t="inlineStr"/>
    </row>
    <row r="6" ht="20" customHeight="1">
      <c r="A6" s="11" t="inlineStr">
        <is>
          <t>Profit for the year</t>
        </is>
      </c>
      <c r="B6" s="12" t="inlineStr"/>
      <c r="C6" s="13" t="n">
        <v>132655</v>
      </c>
      <c r="D6" s="13" t="n">
        <v>132180</v>
      </c>
    </row>
    <row r="7" ht="20" customHeight="1">
      <c r="A7" s="14" t="inlineStr">
        <is>
          <t>Adjustments to reconcile profit for the year to net cash generated from operating activities</t>
        </is>
      </c>
      <c r="B7" s="15" t="inlineStr"/>
      <c r="C7" s="16" t="inlineStr"/>
      <c r="D7" s="16" t="inlineStr"/>
    </row>
    <row r="8" ht="20" customHeight="1">
      <c r="A8" s="8" t="inlineStr">
        <is>
          <t>Gain on sale of property, plant and equipment, net</t>
        </is>
      </c>
      <c r="B8" s="9" t="inlineStr"/>
      <c r="C8" s="10" t="n">
        <v>-393</v>
      </c>
      <c r="D8" s="10" t="n">
        <v>-606</v>
      </c>
    </row>
    <row r="9" ht="20" customHeight="1">
      <c r="A9" s="8" t="inlineStr">
        <is>
          <t>Depreciation, amortisation and impairment expense</t>
        </is>
      </c>
      <c r="B9" s="9" t="inlineStr"/>
      <c r="C9" s="10" t="n">
        <v>29107</v>
      </c>
      <c r="D9" s="10" t="n">
        <v>29579</v>
      </c>
    </row>
    <row r="10" ht="20" customHeight="1">
      <c r="A10" s="8" t="inlineStr">
        <is>
          <t>Unrealised exchange (gain)/loss, net</t>
        </is>
      </c>
      <c r="B10" s="9" t="inlineStr"/>
      <c r="C10" s="10" t="n">
        <v>2168</v>
      </c>
      <c r="D10" s="10" t="n">
        <v>-623</v>
      </c>
    </row>
    <row r="11" ht="20" customHeight="1">
      <c r="A11" s="8" t="inlineStr">
        <is>
          <t>Share-based compensation expense</t>
        </is>
      </c>
      <c r="B11" s="9" t="inlineStr"/>
      <c r="C11" s="10" t="n">
        <v>4465</v>
      </c>
      <c r="D11" s="10" t="n">
        <v>5551</v>
      </c>
    </row>
    <row r="12" ht="20" customHeight="1">
      <c r="A12" s="8" t="inlineStr">
        <is>
          <t>Share of net (profit)/loss of associate and joint venture accounted for using equity method</t>
        </is>
      </c>
      <c r="B12" s="9" t="inlineStr"/>
      <c r="C12" s="10" t="n">
        <v>-257</v>
      </c>
      <c r="D12" s="10" t="n">
        <v>-254</v>
      </c>
    </row>
    <row r="13" ht="20" customHeight="1">
      <c r="A13" s="8" t="inlineStr">
        <is>
          <t>Income tax expense</t>
        </is>
      </c>
      <c r="B13" s="9" t="n">
        <v>28</v>
      </c>
      <c r="C13" s="10" t="n">
        <v>40767</v>
      </c>
      <c r="D13" s="10" t="n">
        <v>42777</v>
      </c>
    </row>
    <row r="14" ht="20" customHeight="1">
      <c r="A14" s="8" t="inlineStr">
        <is>
          <t>Finance and other income, net of finance costs</t>
        </is>
      </c>
      <c r="B14" s="9" t="inlineStr"/>
      <c r="C14" s="10" t="n">
        <v>-21914</v>
      </c>
      <c r="D14" s="10" t="n">
        <v>-23432</v>
      </c>
    </row>
    <row r="15" ht="20" customHeight="1">
      <c r="A15" s="8" t="inlineStr">
        <is>
          <t>Change in fair value of contingent consideration</t>
        </is>
      </c>
      <c r="B15" s="9" t="inlineStr"/>
      <c r="C15" s="10" t="n">
        <v>49</v>
      </c>
      <c r="D15" s="10" t="n">
        <v>-169</v>
      </c>
    </row>
    <row r="16" ht="20" customHeight="1">
      <c r="A16" s="8" t="inlineStr">
        <is>
          <t>Lifetime expected credit loss</t>
        </is>
      </c>
      <c r="B16" s="9" t="n">
        <v>11</v>
      </c>
      <c r="C16" s="10" t="n">
        <v>2838</v>
      </c>
      <c r="D16" s="10" t="n">
        <v>324</v>
      </c>
    </row>
    <row r="17" ht="20" customHeight="1">
      <c r="A17" s="14" t="inlineStr">
        <is>
          <t>Changes in operating assets and liabilities, net of effects from acquisitions</t>
        </is>
      </c>
      <c r="B17" s="15" t="inlineStr"/>
      <c r="C17" s="16" t="inlineStr"/>
      <c r="D17" s="16" t="inlineStr"/>
    </row>
    <row r="18" ht="20" customHeight="1">
      <c r="A18" s="8" t="inlineStr">
        <is>
          <t>(Increase)/Decrease in trade receivables</t>
        </is>
      </c>
      <c r="B18" s="9" t="inlineStr"/>
      <c r="C18" s="10" t="n">
        <v>-11442</v>
      </c>
      <c r="D18" s="10" t="n">
        <v>1894</v>
      </c>
    </row>
    <row r="19" ht="20" customHeight="1">
      <c r="A19" s="8" t="inlineStr">
        <is>
          <t>(Increase)/Decrease in unbilled receivables and contract assets</t>
        </is>
      </c>
      <c r="B19" s="9" t="inlineStr"/>
      <c r="C19" s="10" t="n">
        <v>-14498</v>
      </c>
      <c r="D19" s="10" t="n">
        <v>-1331</v>
      </c>
    </row>
    <row r="20" ht="20" customHeight="1">
      <c r="A20" s="8" t="inlineStr">
        <is>
          <t>(Increase)/Decrease in inventories</t>
        </is>
      </c>
      <c r="B20" s="9" t="inlineStr"/>
      <c r="C20" s="10" t="n">
        <v>184</v>
      </c>
      <c r="D20" s="10" t="n">
        <v>213</v>
      </c>
    </row>
    <row r="21" ht="20" customHeight="1">
      <c r="A21" s="8" t="inlineStr">
        <is>
          <t>(Increase)/Decrease in other financial assets and other assets</t>
        </is>
      </c>
      <c r="B21" s="9" t="inlineStr"/>
      <c r="C21" s="10" t="n">
        <v>-205</v>
      </c>
      <c r="D21" s="10" t="n">
        <v>6609</v>
      </c>
    </row>
    <row r="22" ht="20" customHeight="1">
      <c r="A22" s="8" t="inlineStr">
        <is>
          <t>Increase/(Decrease) in trade payables, other financial liabilities, other liabilities and provisions</t>
        </is>
      </c>
      <c r="B22" s="9" t="inlineStr"/>
      <c r="C22" s="10" t="n">
        <v>8482</v>
      </c>
      <c r="D22" s="10" t="n">
        <v>548</v>
      </c>
    </row>
    <row r="23" ht="20" customHeight="1">
      <c r="A23" s="8" t="inlineStr">
        <is>
          <t>Increase/(Decrease) in contract liabilities</t>
        </is>
      </c>
      <c r="B23" s="9" t="inlineStr"/>
      <c r="C23" s="10" t="n">
        <v>3555</v>
      </c>
      <c r="D23" s="10" t="n">
        <v>2341</v>
      </c>
    </row>
    <row r="24" ht="20" customHeight="1">
      <c r="A24" s="11" t="inlineStr">
        <is>
          <t>Cash generated from operating activities before taxes</t>
        </is>
      </c>
      <c r="B24" s="12" t="inlineStr"/>
      <c r="C24" s="13">
        <f>SUM(C6:C23)</f>
        <v/>
      </c>
      <c r="D24" s="13">
        <f>SUM(D6:D23)</f>
        <v/>
      </c>
    </row>
    <row r="25" ht="20" customHeight="1">
      <c r="A25" s="8" t="inlineStr">
        <is>
          <t>Income taxes paid</t>
        </is>
      </c>
      <c r="B25" s="9" t="inlineStr"/>
      <c r="C25" s="10" t="n">
        <v>-26245</v>
      </c>
      <c r="D25" s="10" t="n">
        <v>-26175</v>
      </c>
    </row>
    <row r="26" ht="20" customHeight="1">
      <c r="A26" s="5" t="inlineStr">
        <is>
          <t>Net cash generated from operating activities</t>
        </is>
      </c>
      <c r="B26" s="6" t="inlineStr"/>
      <c r="C26" s="17">
        <f>C24+C25</f>
        <v/>
      </c>
      <c r="D26" s="17">
        <f>D24+D25</f>
        <v/>
      </c>
    </row>
    <row r="27" ht="20" customHeight="1">
      <c r="A27" s="5" t="inlineStr">
        <is>
          <t>Cash flows from investing activities:</t>
        </is>
      </c>
      <c r="B27" s="6" t="inlineStr"/>
      <c r="C27" s="7" t="inlineStr"/>
      <c r="D27" s="7" t="inlineStr"/>
    </row>
    <row r="28" ht="20" customHeight="1">
      <c r="A28" s="8" t="inlineStr">
        <is>
          <t>Payment for purchase of property, plant and equipment</t>
        </is>
      </c>
      <c r="B28" s="9" t="inlineStr"/>
      <c r="C28" s="10" t="n">
        <v>-15603</v>
      </c>
      <c r="D28" s="10" t="n">
        <v>-14737</v>
      </c>
    </row>
    <row r="29" ht="20" customHeight="1">
      <c r="A29" s="8" t="inlineStr">
        <is>
          <t>Proceeds from disposal of property, plant and equipment</t>
        </is>
      </c>
      <c r="B29" s="9" t="inlineStr"/>
      <c r="C29" s="10" t="n">
        <v>758</v>
      </c>
      <c r="D29" s="10" t="n">
        <v>1822</v>
      </c>
    </row>
    <row r="30" ht="20" customHeight="1">
      <c r="A30" s="8" t="inlineStr">
        <is>
          <t>Investment in associate</t>
        </is>
      </c>
      <c r="B30" s="9" t="inlineStr"/>
      <c r="C30" s="10" t="n">
        <v>-352</v>
      </c>
      <c r="D30" s="10" t="n">
        <v>0</v>
      </c>
    </row>
    <row r="31" ht="20" customHeight="1">
      <c r="A31" s="8" t="inlineStr">
        <is>
          <t>Payment for purchase of investments</t>
        </is>
      </c>
      <c r="B31" s="9" t="inlineStr"/>
      <c r="C31" s="10" t="n">
        <v>-837806</v>
      </c>
      <c r="D31" s="10" t="n">
        <v>-801582</v>
      </c>
    </row>
    <row r="32" ht="20" customHeight="1">
      <c r="A32" s="8" t="inlineStr">
        <is>
          <t>Proceeds from sale of investments</t>
        </is>
      </c>
      <c r="B32" s="9" t="inlineStr"/>
      <c r="C32" s="10" t="n">
        <v>816732</v>
      </c>
      <c r="D32" s="10" t="n">
        <v>706520</v>
      </c>
    </row>
    <row r="33" ht="20" customHeight="1">
      <c r="A33" s="8" t="inlineStr">
        <is>
          <t>Payment for business acquisitions including deposits and escrow, net of cash acquired</t>
        </is>
      </c>
      <c r="B33" s="9" t="inlineStr"/>
      <c r="C33" s="10" t="n">
        <v>-26033</v>
      </c>
      <c r="D33" s="10" t="n">
        <v>-964</v>
      </c>
    </row>
    <row r="34" ht="20" customHeight="1">
      <c r="A34" s="8" t="inlineStr">
        <is>
          <t>Repayment of security deposit for property, plant and equipment</t>
        </is>
      </c>
      <c r="B34" s="9" t="inlineStr"/>
      <c r="C34" s="10" t="n">
        <v>0</v>
      </c>
      <c r="D34" s="10" t="n">
        <v>-300</v>
      </c>
    </row>
    <row r="35" ht="20" customHeight="1">
      <c r="A35" s="8" t="inlineStr">
        <is>
          <t>Interest received</t>
        </is>
      </c>
      <c r="B35" s="9" t="inlineStr"/>
      <c r="C35" s="10" t="n">
        <v>28878</v>
      </c>
      <c r="D35" s="10" t="n">
        <v>26212</v>
      </c>
    </row>
    <row r="36" ht="20" customHeight="1">
      <c r="A36" s="8" t="inlineStr">
        <is>
          <t>Dividend received</t>
        </is>
      </c>
      <c r="B36" s="9" t="n">
        <v>23</v>
      </c>
      <c r="C36" s="10" t="n">
        <v>3</v>
      </c>
      <c r="D36" s="10" t="n">
        <v>2299</v>
      </c>
    </row>
    <row r="37" ht="20" customHeight="1">
      <c r="A37" s="5" t="inlineStr">
        <is>
          <t>Net cash used in investing activities</t>
        </is>
      </c>
      <c r="B37" s="6" t="inlineStr"/>
      <c r="C37" s="17">
        <f>SUM(C28:C36)</f>
        <v/>
      </c>
      <c r="D37" s="17">
        <f>SUM(D28:D36)</f>
        <v/>
      </c>
    </row>
    <row r="38" ht="20" customHeight="1">
      <c r="A38" s="5" t="inlineStr">
        <is>
          <t>Cash flows from financing activities:</t>
        </is>
      </c>
      <c r="B38" s="6" t="inlineStr"/>
      <c r="C38" s="7" t="inlineStr"/>
      <c r="D38" s="7" t="inlineStr"/>
    </row>
    <row r="39" ht="20" customHeight="1">
      <c r="A39" s="8" t="inlineStr">
        <is>
          <t>Proceeds from issuance of equity shares and shares pending allotment</t>
        </is>
      </c>
      <c r="B39" s="9" t="inlineStr"/>
      <c r="C39" s="10" t="n">
        <v>33</v>
      </c>
      <c r="D39" s="10" t="n">
        <v>27</v>
      </c>
    </row>
    <row r="40" ht="20" customHeight="1">
      <c r="A40" s="8" t="inlineStr">
        <is>
          <t>Repayment of borrowings</t>
        </is>
      </c>
      <c r="B40" s="9" t="inlineStr"/>
      <c r="C40" s="10" t="n">
        <v>-259841</v>
      </c>
      <c r="D40" s="10" t="n">
        <v>-177672</v>
      </c>
    </row>
    <row r="41" ht="20" customHeight="1">
      <c r="A41" s="8" t="inlineStr">
        <is>
          <t>Proceeds from borrowings</t>
        </is>
      </c>
      <c r="B41" s="9" t="inlineStr"/>
      <c r="C41" s="10" t="n">
        <v>253089</v>
      </c>
      <c r="D41" s="10" t="n">
        <v>195595</v>
      </c>
    </row>
    <row r="42" ht="20" customHeight="1">
      <c r="A42" s="8" t="inlineStr">
        <is>
          <t>Payment of lease liabilities including interests</t>
        </is>
      </c>
      <c r="B42" s="9" t="n">
        <v>5</v>
      </c>
      <c r="C42" s="10" t="n">
        <v>-11561</v>
      </c>
      <c r="D42" s="10" t="n">
        <v>-10474</v>
      </c>
    </row>
    <row r="43" ht="20" customHeight="1">
      <c r="A43" s="8" t="inlineStr">
        <is>
          <t>Payment for contingent consideration</t>
        </is>
      </c>
      <c r="B43" s="9" t="inlineStr"/>
      <c r="C43" s="10" t="n">
        <v>-648</v>
      </c>
      <c r="D43" s="10" t="n">
        <v>0</v>
      </c>
    </row>
    <row r="44" ht="20" customHeight="1">
      <c r="A44" s="8" t="inlineStr">
        <is>
          <t>Payment of deferred consideration on business combination</t>
        </is>
      </c>
      <c r="B44" s="9" t="inlineStr"/>
      <c r="C44" s="10" t="n">
        <v>-221</v>
      </c>
      <c r="D44" s="10" t="n">
        <v>0</v>
      </c>
    </row>
    <row r="45" ht="20" customHeight="1">
      <c r="A45" s="8" t="inlineStr">
        <is>
          <t>Interest and finance costs paid</t>
        </is>
      </c>
      <c r="B45" s="9" t="inlineStr"/>
      <c r="C45" s="10" t="n">
        <v>-6336</v>
      </c>
      <c r="D45" s="10" t="n">
        <v>-8689</v>
      </c>
    </row>
    <row r="46" ht="20" customHeight="1">
      <c r="A46" s="8" t="inlineStr">
        <is>
          <t>Payment of dividend</t>
        </is>
      </c>
      <c r="B46" s="9" t="inlineStr"/>
      <c r="C46" s="10" t="n">
        <v>-115206</v>
      </c>
      <c r="D46" s="10" t="n">
        <v>-62750</v>
      </c>
    </row>
    <row r="47" ht="20" customHeight="1">
      <c r="A47" s="8" t="inlineStr">
        <is>
          <t>Payment of dividend to Non-controlling interest holders</t>
        </is>
      </c>
      <c r="B47" s="9" t="inlineStr"/>
      <c r="C47" s="10" t="n">
        <v>-569</v>
      </c>
      <c r="D47" s="10" t="n">
        <v>0</v>
      </c>
    </row>
    <row r="48" ht="20" customHeight="1">
      <c r="A48" s="5" t="inlineStr">
        <is>
          <t>Net cash used in financing activities</t>
        </is>
      </c>
      <c r="B48" s="6" t="inlineStr"/>
      <c r="C48" s="17">
        <f>SUM(C39:C47)</f>
        <v/>
      </c>
      <c r="D48" s="17">
        <f>SUM(D39:D47)</f>
        <v/>
      </c>
    </row>
    <row r="49" ht="20" customHeight="1">
      <c r="A49" s="11" t="inlineStr">
        <is>
          <t>Net increase/(decrease) in cash and cash equivalents during the year</t>
        </is>
      </c>
      <c r="B49" s="12" t="inlineStr"/>
      <c r="C49" s="13">
        <f>C26+C37+C48</f>
        <v/>
      </c>
      <c r="D49" s="13">
        <f>D26+D37+D48</f>
        <v/>
      </c>
    </row>
    <row r="50" ht="20" customHeight="1">
      <c r="A50" s="8" t="inlineStr">
        <is>
          <t>Effect of exchange rate changes on cash and cash equivalents</t>
        </is>
      </c>
      <c r="B50" s="9" t="inlineStr"/>
      <c r="C50" s="10" t="n">
        <v>8948</v>
      </c>
      <c r="D50" s="10" t="n">
        <v>290</v>
      </c>
    </row>
    <row r="51" ht="20" customHeight="1">
      <c r="A51" s="8" t="inlineStr">
        <is>
          <t>Cash and cash equivalents at the beginning of the year</t>
        </is>
      </c>
      <c r="B51" s="9" t="n">
        <v>15</v>
      </c>
      <c r="C51" s="10" t="n">
        <v>121974</v>
      </c>
      <c r="D51" s="10" t="n">
        <v>96951</v>
      </c>
    </row>
    <row r="52" ht="20" customHeight="1">
      <c r="A52" s="5" t="inlineStr">
        <is>
          <t>Cash and cash equivalents at the end of the year</t>
        </is>
      </c>
      <c r="B52" s="6" t="n">
        <v>15</v>
      </c>
      <c r="C52" s="17">
        <f>C49+C50+C51</f>
        <v/>
      </c>
      <c r="D52" s="17">
        <f>D49+D50+D51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2026-10-06T07:05:23Z</dcterms:created>
  <dcterms:modified xmlns:dcterms="http://purl.org/dc/terms/" xmlns:xsi="http://www.w3.org/2001/XMLSchema-instance" xsi:type="dcterms:W3CDTF">2026-10-06T07:05:23Z</dcterms:modified>
</cp:coreProperties>
</file>